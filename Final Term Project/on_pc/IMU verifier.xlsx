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e\Documents\GitHub\ME-405-Repo\Lab0x05\on_pc\"/>
    </mc:Choice>
  </mc:AlternateContent>
  <xr:revisionPtr revIDLastSave="0" documentId="13_ncr:1_{96587C17-7E72-4BC7-8C16-0ACB05713F4B}" xr6:coauthVersionLast="47" xr6:coauthVersionMax="47" xr10:uidLastSave="{00000000-0000-0000-0000-000000000000}"/>
  <bookViews>
    <workbookView xWindow="-108" yWindow="-108" windowWidth="23256" windowHeight="13896" xr2:uid="{F3D89DD9-DBC1-45AF-8745-14C71D4CA817}"/>
  </bookViews>
  <sheets>
    <sheet name="IMU verifi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2" i="1"/>
  <c r="E3" i="1"/>
  <c r="F3" i="1" s="1"/>
  <c r="F4" i="1" s="1"/>
  <c r="F2" i="1"/>
  <c r="F5" i="1" l="1"/>
  <c r="F6" i="1" s="1"/>
  <c r="F7" i="1" s="1"/>
  <c r="F8" i="1" s="1"/>
  <c r="F9" i="1" l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</calcChain>
</file>

<file path=xl/sharedStrings.xml><?xml version="1.0" encoding="utf-8"?>
<sst xmlns="http://schemas.openxmlformats.org/spreadsheetml/2006/main" count="7" uniqueCount="7">
  <si>
    <t>time_micros</t>
  </si>
  <si>
    <t>angle</t>
  </si>
  <si>
    <t>yaw rate</t>
  </si>
  <si>
    <t>time in seconds</t>
  </si>
  <si>
    <t>angle step</t>
  </si>
  <si>
    <t>angle accumulate</t>
  </si>
  <si>
    <t>Average Yaw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</si>
</sst>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51532146-0566-42FE-BD7A-B671A648D8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integrated yaw rate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'IMU verifier'!$D$2:$D$55</c:f>
              <c:numCache>
                <c:formatCode>General</c:formatCode>
                <c:ptCount val="54"/>
                <c:pt idx="0">
                  <c:v>0.100232</c:v>
                </c:pt>
                <c:pt idx="1">
                  <c:v>0.100232</c:v>
                </c:pt>
                <c:pt idx="2">
                  <c:v>0.300284</c:v>
                </c:pt>
                <c:pt idx="3">
                  <c:v>0.40082899999999999</c:v>
                </c:pt>
                <c:pt idx="4">
                  <c:v>0.50031599999999998</c:v>
                </c:pt>
                <c:pt idx="5">
                  <c:v>0.60033800000000004</c:v>
                </c:pt>
                <c:pt idx="6">
                  <c:v>0.70072400000000001</c:v>
                </c:pt>
                <c:pt idx="7">
                  <c:v>0.80023</c:v>
                </c:pt>
                <c:pt idx="8">
                  <c:v>0.90079299999999995</c:v>
                </c:pt>
                <c:pt idx="9">
                  <c:v>0.90079299999999995</c:v>
                </c:pt>
                <c:pt idx="10">
                  <c:v>1.0018119999999999</c:v>
                </c:pt>
                <c:pt idx="11">
                  <c:v>1.200251</c:v>
                </c:pt>
                <c:pt idx="12">
                  <c:v>1.3003290000000001</c:v>
                </c:pt>
                <c:pt idx="13">
                  <c:v>1.4002410000000001</c:v>
                </c:pt>
                <c:pt idx="14">
                  <c:v>1.5002260000000001</c:v>
                </c:pt>
                <c:pt idx="15">
                  <c:v>1.5002260000000001</c:v>
                </c:pt>
                <c:pt idx="16">
                  <c:v>1.7007890000000001</c:v>
                </c:pt>
                <c:pt idx="17">
                  <c:v>1.8008789999999999</c:v>
                </c:pt>
                <c:pt idx="18">
                  <c:v>1.900234</c:v>
                </c:pt>
                <c:pt idx="19">
                  <c:v>2.000486</c:v>
                </c:pt>
                <c:pt idx="20">
                  <c:v>2.1005479999999999</c:v>
                </c:pt>
                <c:pt idx="21">
                  <c:v>2.1005479999999999</c:v>
                </c:pt>
                <c:pt idx="22">
                  <c:v>2.300694</c:v>
                </c:pt>
                <c:pt idx="23">
                  <c:v>2.400541</c:v>
                </c:pt>
                <c:pt idx="24">
                  <c:v>2.500562</c:v>
                </c:pt>
                <c:pt idx="25">
                  <c:v>2.6006649999999998</c:v>
                </c:pt>
                <c:pt idx="26">
                  <c:v>2.7008369999999999</c:v>
                </c:pt>
                <c:pt idx="27">
                  <c:v>2.8004099999999998</c:v>
                </c:pt>
                <c:pt idx="28">
                  <c:v>2.8004099999999998</c:v>
                </c:pt>
                <c:pt idx="29">
                  <c:v>3.0002080000000002</c:v>
                </c:pt>
                <c:pt idx="30">
                  <c:v>3.0002080000000002</c:v>
                </c:pt>
                <c:pt idx="31">
                  <c:v>3.1018029999999999</c:v>
                </c:pt>
                <c:pt idx="32">
                  <c:v>3.3119459999999998</c:v>
                </c:pt>
                <c:pt idx="33">
                  <c:v>3.4005740000000002</c:v>
                </c:pt>
                <c:pt idx="34">
                  <c:v>3.5003739999999999</c:v>
                </c:pt>
                <c:pt idx="35">
                  <c:v>3.6006200000000002</c:v>
                </c:pt>
                <c:pt idx="36">
                  <c:v>3.7003460000000001</c:v>
                </c:pt>
                <c:pt idx="37">
                  <c:v>3.8005230000000001</c:v>
                </c:pt>
                <c:pt idx="38">
                  <c:v>3.9007580000000002</c:v>
                </c:pt>
                <c:pt idx="39">
                  <c:v>4.0007780000000004</c:v>
                </c:pt>
                <c:pt idx="40">
                  <c:v>4.0007780000000004</c:v>
                </c:pt>
                <c:pt idx="41">
                  <c:v>4.2005699999999999</c:v>
                </c:pt>
                <c:pt idx="42">
                  <c:v>4.3008069999999998</c:v>
                </c:pt>
                <c:pt idx="43">
                  <c:v>4.4003899999999998</c:v>
                </c:pt>
                <c:pt idx="44">
                  <c:v>4.5005519999999999</c:v>
                </c:pt>
                <c:pt idx="45">
                  <c:v>4.6003920000000003</c:v>
                </c:pt>
                <c:pt idx="46">
                  <c:v>4.700672</c:v>
                </c:pt>
                <c:pt idx="47">
                  <c:v>4.80063</c:v>
                </c:pt>
                <c:pt idx="48">
                  <c:v>4.900709</c:v>
                </c:pt>
                <c:pt idx="49">
                  <c:v>5.0005750000000004</c:v>
                </c:pt>
                <c:pt idx="50">
                  <c:v>5.1005669999999999</c:v>
                </c:pt>
                <c:pt idx="51">
                  <c:v>5.2006160000000001</c:v>
                </c:pt>
                <c:pt idx="52">
                  <c:v>5.3007390000000001</c:v>
                </c:pt>
              </c:numCache>
            </c:numRef>
          </c:xVal>
          <c:yVal>
            <c:numRef>
              <c:f>'IMU verifier'!$F$2:$F$55</c:f>
              <c:numCache>
                <c:formatCode>General</c:formatCode>
                <c:ptCount val="54"/>
                <c:pt idx="0">
                  <c:v>5.5233340000000002</c:v>
                </c:pt>
                <c:pt idx="1">
                  <c:v>5.5233340000000002</c:v>
                </c:pt>
                <c:pt idx="2">
                  <c:v>5.5236674199666584</c:v>
                </c:pt>
                <c:pt idx="3">
                  <c:v>5.5233322699499006</c:v>
                </c:pt>
                <c:pt idx="4">
                  <c:v>5.5229453760499574</c:v>
                </c:pt>
                <c:pt idx="5">
                  <c:v>5.9586523049407365</c:v>
                </c:pt>
                <c:pt idx="6">
                  <c:v>0.6124029642991502</c:v>
                </c:pt>
                <c:pt idx="7">
                  <c:v>1.4847941566311502</c:v>
                </c:pt>
                <c:pt idx="8">
                  <c:v>2.11443026212415</c:v>
                </c:pt>
                <c:pt idx="9">
                  <c:v>2.11443026212415</c:v>
                </c:pt>
                <c:pt idx="10">
                  <c:v>2.58747981290615</c:v>
                </c:pt>
                <c:pt idx="11">
                  <c:v>3.4485949392611501</c:v>
                </c:pt>
                <c:pt idx="12">
                  <c:v>3.8632514692741506</c:v>
                </c:pt>
                <c:pt idx="13">
                  <c:v>4.252741715970151</c:v>
                </c:pt>
                <c:pt idx="14">
                  <c:v>4.6239637743076507</c:v>
                </c:pt>
                <c:pt idx="15">
                  <c:v>4.6239637743076507</c:v>
                </c:pt>
                <c:pt idx="16">
                  <c:v>5.3726209283216511</c:v>
                </c:pt>
                <c:pt idx="17">
                  <c:v>5.7552427783416507</c:v>
                </c:pt>
                <c:pt idx="18">
                  <c:v>6.1283208033416514</c:v>
                </c:pt>
                <c:pt idx="19">
                  <c:v>0.2054857461760653</c:v>
                </c:pt>
                <c:pt idx="20">
                  <c:v>0.57243536397106487</c:v>
                </c:pt>
                <c:pt idx="21">
                  <c:v>0.57243536397106487</c:v>
                </c:pt>
                <c:pt idx="22">
                  <c:v>1.3164225784560655</c:v>
                </c:pt>
                <c:pt idx="23">
                  <c:v>1.6785898134900656</c:v>
                </c:pt>
                <c:pt idx="24">
                  <c:v>2.0419438518175652</c:v>
                </c:pt>
                <c:pt idx="25">
                  <c:v>2.3961972573845647</c:v>
                </c:pt>
                <c:pt idx="26">
                  <c:v>2.752197426292565</c:v>
                </c:pt>
                <c:pt idx="27">
                  <c:v>3.1262046668955645</c:v>
                </c:pt>
                <c:pt idx="28">
                  <c:v>3.1262046668955645</c:v>
                </c:pt>
                <c:pt idx="29">
                  <c:v>3.8710072557395661</c:v>
                </c:pt>
                <c:pt idx="30">
                  <c:v>3.8710072557395661</c:v>
                </c:pt>
                <c:pt idx="31">
                  <c:v>4.2408130557395651</c:v>
                </c:pt>
                <c:pt idx="32">
                  <c:v>5.0219612384855647</c:v>
                </c:pt>
                <c:pt idx="33">
                  <c:v>5.3451579970475658</c:v>
                </c:pt>
                <c:pt idx="34">
                  <c:v>5.6999469970475642</c:v>
                </c:pt>
                <c:pt idx="35">
                  <c:v>6.0699104738235654</c:v>
                </c:pt>
                <c:pt idx="36">
                  <c:v>0.15931262209297881</c:v>
                </c:pt>
                <c:pt idx="37">
                  <c:v>0.5353103121224787</c:v>
                </c:pt>
                <c:pt idx="38">
                  <c:v>0.91158137603747891</c:v>
                </c:pt>
                <c:pt idx="39">
                  <c:v>1.2705420538174796</c:v>
                </c:pt>
                <c:pt idx="40">
                  <c:v>1.2705420538174796</c:v>
                </c:pt>
                <c:pt idx="41">
                  <c:v>1.995010022729478</c:v>
                </c:pt>
                <c:pt idx="42">
                  <c:v>2.3591487409969778</c:v>
                </c:pt>
                <c:pt idx="43">
                  <c:v>2.7183667294229776</c:v>
                </c:pt>
                <c:pt idx="44">
                  <c:v>3.080229749377978</c:v>
                </c:pt>
                <c:pt idx="45">
                  <c:v>3.4395982383379793</c:v>
                </c:pt>
                <c:pt idx="46">
                  <c:v>3.806957271577978</c:v>
                </c:pt>
                <c:pt idx="47">
                  <c:v>4.1744695015849782</c:v>
                </c:pt>
                <c:pt idx="48">
                  <c:v>4.5416482438159784</c:v>
                </c:pt>
                <c:pt idx="49">
                  <c:v>4.9089332215639798</c:v>
                </c:pt>
                <c:pt idx="50">
                  <c:v>5.2720152726759775</c:v>
                </c:pt>
                <c:pt idx="51">
                  <c:v>5.6316358504564787</c:v>
                </c:pt>
                <c:pt idx="52">
                  <c:v>6.0023690921504782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35-48E4-96FE-0A28D2621D62}"/>
            </c:ext>
          </c:extLst>
        </c:ser>
        <c:ser>
          <c:idx val="1"/>
          <c:order val="1"/>
          <c:tx>
            <c:v>measured angle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'IMU verifier'!$D$2:$D$55</c:f>
              <c:numCache>
                <c:formatCode>General</c:formatCode>
                <c:ptCount val="54"/>
                <c:pt idx="0">
                  <c:v>0.100232</c:v>
                </c:pt>
                <c:pt idx="1">
                  <c:v>0.100232</c:v>
                </c:pt>
                <c:pt idx="2">
                  <c:v>0.300284</c:v>
                </c:pt>
                <c:pt idx="3">
                  <c:v>0.40082899999999999</c:v>
                </c:pt>
                <c:pt idx="4">
                  <c:v>0.50031599999999998</c:v>
                </c:pt>
                <c:pt idx="5">
                  <c:v>0.60033800000000004</c:v>
                </c:pt>
                <c:pt idx="6">
                  <c:v>0.70072400000000001</c:v>
                </c:pt>
                <c:pt idx="7">
                  <c:v>0.80023</c:v>
                </c:pt>
                <c:pt idx="8">
                  <c:v>0.90079299999999995</c:v>
                </c:pt>
                <c:pt idx="9">
                  <c:v>0.90079299999999995</c:v>
                </c:pt>
                <c:pt idx="10">
                  <c:v>1.0018119999999999</c:v>
                </c:pt>
                <c:pt idx="11">
                  <c:v>1.200251</c:v>
                </c:pt>
                <c:pt idx="12">
                  <c:v>1.3003290000000001</c:v>
                </c:pt>
                <c:pt idx="13">
                  <c:v>1.4002410000000001</c:v>
                </c:pt>
                <c:pt idx="14">
                  <c:v>1.5002260000000001</c:v>
                </c:pt>
                <c:pt idx="15">
                  <c:v>1.5002260000000001</c:v>
                </c:pt>
                <c:pt idx="16">
                  <c:v>1.7007890000000001</c:v>
                </c:pt>
                <c:pt idx="17">
                  <c:v>1.8008789999999999</c:v>
                </c:pt>
                <c:pt idx="18">
                  <c:v>1.900234</c:v>
                </c:pt>
                <c:pt idx="19">
                  <c:v>2.000486</c:v>
                </c:pt>
                <c:pt idx="20">
                  <c:v>2.1005479999999999</c:v>
                </c:pt>
                <c:pt idx="21">
                  <c:v>2.1005479999999999</c:v>
                </c:pt>
                <c:pt idx="22">
                  <c:v>2.300694</c:v>
                </c:pt>
                <c:pt idx="23">
                  <c:v>2.400541</c:v>
                </c:pt>
                <c:pt idx="24">
                  <c:v>2.500562</c:v>
                </c:pt>
                <c:pt idx="25">
                  <c:v>2.6006649999999998</c:v>
                </c:pt>
                <c:pt idx="26">
                  <c:v>2.7008369999999999</c:v>
                </c:pt>
                <c:pt idx="27">
                  <c:v>2.8004099999999998</c:v>
                </c:pt>
                <c:pt idx="28">
                  <c:v>2.8004099999999998</c:v>
                </c:pt>
                <c:pt idx="29">
                  <c:v>3.0002080000000002</c:v>
                </c:pt>
                <c:pt idx="30">
                  <c:v>3.0002080000000002</c:v>
                </c:pt>
                <c:pt idx="31">
                  <c:v>3.1018029999999999</c:v>
                </c:pt>
                <c:pt idx="32">
                  <c:v>3.3119459999999998</c:v>
                </c:pt>
                <c:pt idx="33">
                  <c:v>3.4005740000000002</c:v>
                </c:pt>
                <c:pt idx="34">
                  <c:v>3.5003739999999999</c:v>
                </c:pt>
                <c:pt idx="35">
                  <c:v>3.6006200000000002</c:v>
                </c:pt>
                <c:pt idx="36">
                  <c:v>3.7003460000000001</c:v>
                </c:pt>
                <c:pt idx="37">
                  <c:v>3.8005230000000001</c:v>
                </c:pt>
                <c:pt idx="38">
                  <c:v>3.9007580000000002</c:v>
                </c:pt>
                <c:pt idx="39">
                  <c:v>4.0007780000000004</c:v>
                </c:pt>
                <c:pt idx="40">
                  <c:v>4.0007780000000004</c:v>
                </c:pt>
                <c:pt idx="41">
                  <c:v>4.2005699999999999</c:v>
                </c:pt>
                <c:pt idx="42">
                  <c:v>4.3008069999999998</c:v>
                </c:pt>
                <c:pt idx="43">
                  <c:v>4.4003899999999998</c:v>
                </c:pt>
                <c:pt idx="44">
                  <c:v>4.5005519999999999</c:v>
                </c:pt>
                <c:pt idx="45">
                  <c:v>4.6003920000000003</c:v>
                </c:pt>
                <c:pt idx="46">
                  <c:v>4.700672</c:v>
                </c:pt>
                <c:pt idx="47">
                  <c:v>4.80063</c:v>
                </c:pt>
                <c:pt idx="48">
                  <c:v>4.900709</c:v>
                </c:pt>
                <c:pt idx="49">
                  <c:v>5.0005750000000004</c:v>
                </c:pt>
                <c:pt idx="50">
                  <c:v>5.1005669999999999</c:v>
                </c:pt>
                <c:pt idx="51">
                  <c:v>5.2006160000000001</c:v>
                </c:pt>
                <c:pt idx="52">
                  <c:v>5.3007390000000001</c:v>
                </c:pt>
              </c:numCache>
            </c:numRef>
          </c:xVal>
          <c:yVal>
            <c:numRef>
              <c:f>'IMU verifier'!$B$2:$B$55</c:f>
              <c:numCache>
                <c:formatCode>General</c:formatCode>
                <c:ptCount val="54"/>
                <c:pt idx="0">
                  <c:v>5.5233340000000002</c:v>
                </c:pt>
                <c:pt idx="1">
                  <c:v>5.5233340000000002</c:v>
                </c:pt>
                <c:pt idx="2">
                  <c:v>5.5233340000000002</c:v>
                </c:pt>
                <c:pt idx="3">
                  <c:v>5.5233340000000002</c:v>
                </c:pt>
                <c:pt idx="4">
                  <c:v>5.5233340000000002</c:v>
                </c:pt>
                <c:pt idx="5">
                  <c:v>5.8611110000000002</c:v>
                </c:pt>
                <c:pt idx="6">
                  <c:v>0.51111119999999999</c:v>
                </c:pt>
                <c:pt idx="7">
                  <c:v>1.39</c:v>
                </c:pt>
                <c:pt idx="8">
                  <c:v>2.0477780000000001</c:v>
                </c:pt>
                <c:pt idx="9">
                  <c:v>2.0477780000000001</c:v>
                </c:pt>
                <c:pt idx="10">
                  <c:v>2.423333</c:v>
                </c:pt>
                <c:pt idx="11">
                  <c:v>3.2455560000000001</c:v>
                </c:pt>
                <c:pt idx="12">
                  <c:v>3.6422219999999998</c:v>
                </c:pt>
                <c:pt idx="13">
                  <c:v>4.0122220000000004</c:v>
                </c:pt>
                <c:pt idx="14">
                  <c:v>4.3633329999999999</c:v>
                </c:pt>
                <c:pt idx="15">
                  <c:v>4.3633329999999999</c:v>
                </c:pt>
                <c:pt idx="16">
                  <c:v>5.0766669999999996</c:v>
                </c:pt>
                <c:pt idx="17">
                  <c:v>5.4377779999999998</c:v>
                </c:pt>
                <c:pt idx="18">
                  <c:v>5.7977780000000001</c:v>
                </c:pt>
                <c:pt idx="19">
                  <c:v>6.14</c:v>
                </c:pt>
                <c:pt idx="20">
                  <c:v>0.24444440000000001</c:v>
                </c:pt>
                <c:pt idx="21">
                  <c:v>0.24444440000000001</c:v>
                </c:pt>
                <c:pt idx="22">
                  <c:v>0.92222219999999999</c:v>
                </c:pt>
                <c:pt idx="23">
                  <c:v>1.263333</c:v>
                </c:pt>
                <c:pt idx="24">
                  <c:v>1.611111</c:v>
                </c:pt>
                <c:pt idx="25">
                  <c:v>1.947778</c:v>
                </c:pt>
                <c:pt idx="26">
                  <c:v>2.2844440000000001</c:v>
                </c:pt>
                <c:pt idx="27">
                  <c:v>2.6433330000000002</c:v>
                </c:pt>
                <c:pt idx="28">
                  <c:v>2.6433330000000002</c:v>
                </c:pt>
                <c:pt idx="29">
                  <c:v>3.342222</c:v>
                </c:pt>
                <c:pt idx="30">
                  <c:v>3.342222</c:v>
                </c:pt>
                <c:pt idx="31">
                  <c:v>3.69</c:v>
                </c:pt>
                <c:pt idx="32">
                  <c:v>4.4288889999999999</c:v>
                </c:pt>
                <c:pt idx="33">
                  <c:v>4.7033329999999998</c:v>
                </c:pt>
                <c:pt idx="34">
                  <c:v>5.0422219999999998</c:v>
                </c:pt>
                <c:pt idx="35">
                  <c:v>5.39</c:v>
                </c:pt>
                <c:pt idx="36">
                  <c:v>5.7444439999999997</c:v>
                </c:pt>
                <c:pt idx="37">
                  <c:v>6.0944440000000002</c:v>
                </c:pt>
                <c:pt idx="38">
                  <c:v>0.17222219999999999</c:v>
                </c:pt>
                <c:pt idx="39">
                  <c:v>0.51444440000000002</c:v>
                </c:pt>
                <c:pt idx="40">
                  <c:v>0.51444440000000002</c:v>
                </c:pt>
                <c:pt idx="41">
                  <c:v>1.2144440000000001</c:v>
                </c:pt>
                <c:pt idx="42">
                  <c:v>1.562222</c:v>
                </c:pt>
                <c:pt idx="43">
                  <c:v>1.9044449999999999</c:v>
                </c:pt>
                <c:pt idx="44">
                  <c:v>2.25</c:v>
                </c:pt>
                <c:pt idx="45">
                  <c:v>2.5911110000000002</c:v>
                </c:pt>
                <c:pt idx="46">
                  <c:v>2.943333</c:v>
                </c:pt>
                <c:pt idx="47">
                  <c:v>3.3277779999999999</c:v>
                </c:pt>
                <c:pt idx="48">
                  <c:v>3.641111</c:v>
                </c:pt>
                <c:pt idx="49">
                  <c:v>3.99</c:v>
                </c:pt>
                <c:pt idx="50">
                  <c:v>4.3355560000000004</c:v>
                </c:pt>
                <c:pt idx="51">
                  <c:v>4.6722219999999997</c:v>
                </c:pt>
                <c:pt idx="52">
                  <c:v>5.0244450000000001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35-48E4-96FE-0A28D2621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284432"/>
        <c:axId val="1029268592"/>
      </c:scatterChart>
      <c:valAx>
        <c:axId val="102928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268592"/>
        <c:crosses val="autoZero"/>
        <c:crossBetween val="midCat"/>
      </c:valAx>
      <c:valAx>
        <c:axId val="102926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28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489584</xdr:colOff>
      <xdr:row>3</xdr:row>
      <xdr:rowOff>52386</xdr:rowOff>
    </xdr:from>
    <xdr:to>
      <xdr:col>23</xdr:col>
      <xdr:colOff>284479</xdr:colOff>
      <xdr:row>25</xdr:row>
      <xdr:rowOff>101599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44B857-10E2-DD69-F106-4C58DA2A20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207D4-79B3-4978-9DD7-F10B8042D38D}">
  <dimension ref="A1:I55"/>
  <sheetViews>
    <sheetView tabSelected="1" zoomScale="75" workbookViewId="0">
      <selection activeCell="I5" sqref="I5"/>
    </sheetView>
  </sheetViews>
  <sheetFormatPr defaultRowHeight="14.4" x14ac:dyDescent="0.3"/>
  <cols>
    <col min="1" max="1" width="13.88671875" customWidth="1"/>
    <col min="2" max="2" width="10.77734375" customWidth="1"/>
    <col min="3" max="3" width="11.5546875" customWidth="1"/>
    <col min="4" max="4" width="16.77734375" customWidth="1"/>
    <col min="5" max="5" width="12" customWidth="1"/>
    <col min="6" max="6" width="18.6640625" customWidth="1"/>
    <col min="9" max="9" width="15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3">
      <c r="A2">
        <v>100232</v>
      </c>
      <c r="B2">
        <v>5.5233340000000002</v>
      </c>
      <c r="C2">
        <v>-3.333333E-3</v>
      </c>
      <c r="D2">
        <f>A2/1000000</f>
        <v>0.100232</v>
      </c>
      <c r="F2">
        <f>B2</f>
        <v>5.5233340000000002</v>
      </c>
    </row>
    <row r="3" spans="1:9" x14ac:dyDescent="0.3">
      <c r="A3">
        <v>100232</v>
      </c>
      <c r="B3">
        <v>5.5233340000000002</v>
      </c>
      <c r="C3">
        <v>-3.333333E-3</v>
      </c>
      <c r="D3">
        <f t="shared" ref="D3:D54" si="0">A3/1000000</f>
        <v>0.100232</v>
      </c>
      <c r="E3">
        <f>0.5*(C3+C2)*(D3-D2)</f>
        <v>0</v>
      </c>
      <c r="F3">
        <f>MOD(E3+F2, 2*PI())</f>
        <v>5.5233340000000002</v>
      </c>
    </row>
    <row r="4" spans="1:9" x14ac:dyDescent="0.3">
      <c r="A4">
        <v>300284</v>
      </c>
      <c r="B4">
        <v>5.5233340000000002</v>
      </c>
      <c r="C4">
        <v>0</v>
      </c>
      <c r="D4">
        <f t="shared" si="0"/>
        <v>0.300284</v>
      </c>
      <c r="E4">
        <f>-0.5*(C4+C3)*(D4-D3)</f>
        <v>3.3341996665800001E-4</v>
      </c>
      <c r="F4">
        <f>MOD(E4+F3, 2*PI())</f>
        <v>5.5236674199666584</v>
      </c>
      <c r="I4" t="s">
        <v>6</v>
      </c>
    </row>
    <row r="5" spans="1:9" x14ac:dyDescent="0.3">
      <c r="A5">
        <v>400829</v>
      </c>
      <c r="B5">
        <v>5.5233340000000002</v>
      </c>
      <c r="C5">
        <v>6.6666670000000003E-3</v>
      </c>
      <c r="D5">
        <f t="shared" si="0"/>
        <v>0.40082899999999999</v>
      </c>
      <c r="E5">
        <f t="shared" ref="E5:E55" si="1">-0.5*(C5+C4)*(D5-D4)</f>
        <v>-3.351500167575E-4</v>
      </c>
      <c r="F5">
        <f t="shared" ref="F5:F55" si="2">MOD(E5+F4, 2*PI())</f>
        <v>5.5233322699499006</v>
      </c>
      <c r="I5">
        <f>AVERAGE(C2:C54)</f>
        <v>-3.691740054490567</v>
      </c>
    </row>
    <row r="6" spans="1:9" x14ac:dyDescent="0.3">
      <c r="A6">
        <v>500316</v>
      </c>
      <c r="B6">
        <v>5.5233340000000002</v>
      </c>
      <c r="C6">
        <v>1.1111109999999999E-3</v>
      </c>
      <c r="D6">
        <f t="shared" si="0"/>
        <v>0.50031599999999998</v>
      </c>
      <c r="E6">
        <f t="shared" si="1"/>
        <v>-3.8689389994299997E-4</v>
      </c>
      <c r="F6">
        <f t="shared" si="2"/>
        <v>5.5229453760499574</v>
      </c>
    </row>
    <row r="7" spans="1:9" x14ac:dyDescent="0.3">
      <c r="A7">
        <v>600338</v>
      </c>
      <c r="B7">
        <v>5.8611110000000002</v>
      </c>
      <c r="C7">
        <v>-8.7133330000000004</v>
      </c>
      <c r="D7">
        <f t="shared" si="0"/>
        <v>0.60033800000000004</v>
      </c>
      <c r="E7">
        <f t="shared" si="1"/>
        <v>0.43570692889077928</v>
      </c>
      <c r="F7">
        <f t="shared" si="2"/>
        <v>5.9586523049407365</v>
      </c>
    </row>
    <row r="8" spans="1:9" x14ac:dyDescent="0.3">
      <c r="A8">
        <v>700724</v>
      </c>
      <c r="B8">
        <v>0.51111119999999999</v>
      </c>
      <c r="C8">
        <v>-9.9533330000000007</v>
      </c>
      <c r="D8">
        <f t="shared" si="0"/>
        <v>0.70072400000000001</v>
      </c>
      <c r="E8">
        <f t="shared" si="1"/>
        <v>0.93693596653799971</v>
      </c>
      <c r="F8">
        <f t="shared" si="2"/>
        <v>0.6124029642991502</v>
      </c>
    </row>
    <row r="9" spans="1:9" x14ac:dyDescent="0.3">
      <c r="A9">
        <v>800230</v>
      </c>
      <c r="B9">
        <v>1.39</v>
      </c>
      <c r="C9">
        <v>-7.5811109999999999</v>
      </c>
      <c r="D9">
        <f t="shared" si="0"/>
        <v>0.80023</v>
      </c>
      <c r="E9">
        <f t="shared" si="1"/>
        <v>0.87239119233199991</v>
      </c>
      <c r="F9">
        <f>MOD(E9+F8, 2*PI())</f>
        <v>1.4847941566311502</v>
      </c>
    </row>
    <row r="10" spans="1:9" x14ac:dyDescent="0.3">
      <c r="A10">
        <v>900793</v>
      </c>
      <c r="B10">
        <v>2.0477780000000001</v>
      </c>
      <c r="C10">
        <v>-4.9411110000000003</v>
      </c>
      <c r="D10">
        <f t="shared" si="0"/>
        <v>0.90079299999999995</v>
      </c>
      <c r="E10">
        <f t="shared" si="1"/>
        <v>0.62963610549299975</v>
      </c>
      <c r="F10">
        <f t="shared" si="2"/>
        <v>2.11443026212415</v>
      </c>
    </row>
    <row r="11" spans="1:9" x14ac:dyDescent="0.3">
      <c r="A11">
        <v>900793</v>
      </c>
      <c r="B11">
        <v>2.0477780000000001</v>
      </c>
      <c r="C11">
        <v>-4.9411110000000003</v>
      </c>
      <c r="D11">
        <f t="shared" si="0"/>
        <v>0.90079299999999995</v>
      </c>
      <c r="E11">
        <f t="shared" si="1"/>
        <v>0</v>
      </c>
      <c r="F11">
        <f t="shared" si="2"/>
        <v>2.11443026212415</v>
      </c>
    </row>
    <row r="12" spans="1:9" x14ac:dyDescent="0.3">
      <c r="A12">
        <v>1001812</v>
      </c>
      <c r="B12">
        <v>2.423333</v>
      </c>
      <c r="C12">
        <v>-4.4244450000000004</v>
      </c>
      <c r="D12">
        <f t="shared" si="0"/>
        <v>1.0018119999999999</v>
      </c>
      <c r="E12">
        <f t="shared" si="1"/>
        <v>0.47304955078199995</v>
      </c>
      <c r="F12">
        <f t="shared" si="2"/>
        <v>2.58747981290615</v>
      </c>
    </row>
    <row r="13" spans="1:9" x14ac:dyDescent="0.3">
      <c r="A13">
        <v>1200251</v>
      </c>
      <c r="B13">
        <v>3.2455560000000001</v>
      </c>
      <c r="C13">
        <v>-4.2544449999999996</v>
      </c>
      <c r="D13">
        <f t="shared" si="0"/>
        <v>1.200251</v>
      </c>
      <c r="E13">
        <f t="shared" si="1"/>
        <v>0.86111512635500009</v>
      </c>
      <c r="F13">
        <f t="shared" si="2"/>
        <v>3.4485949392611501</v>
      </c>
    </row>
    <row r="14" spans="1:9" x14ac:dyDescent="0.3">
      <c r="A14">
        <v>1300329</v>
      </c>
      <c r="B14">
        <v>3.6422219999999998</v>
      </c>
      <c r="C14">
        <v>-4.032222</v>
      </c>
      <c r="D14">
        <f t="shared" si="0"/>
        <v>1.3003290000000001</v>
      </c>
      <c r="E14">
        <f t="shared" si="1"/>
        <v>0.41465653001300046</v>
      </c>
      <c r="F14">
        <f t="shared" si="2"/>
        <v>3.8632514692741506</v>
      </c>
    </row>
    <row r="15" spans="1:9" x14ac:dyDescent="0.3">
      <c r="A15">
        <v>1400241</v>
      </c>
      <c r="B15">
        <v>4.0122220000000004</v>
      </c>
      <c r="C15">
        <v>-3.7644440000000001</v>
      </c>
      <c r="D15">
        <f t="shared" si="0"/>
        <v>1.4002410000000001</v>
      </c>
      <c r="E15">
        <f t="shared" si="1"/>
        <v>0.38949024669600002</v>
      </c>
      <c r="F15">
        <f t="shared" si="2"/>
        <v>4.252741715970151</v>
      </c>
    </row>
    <row r="16" spans="1:9" x14ac:dyDescent="0.3">
      <c r="A16">
        <v>1500226</v>
      </c>
      <c r="B16">
        <v>4.3633329999999999</v>
      </c>
      <c r="C16">
        <v>-3.661111</v>
      </c>
      <c r="D16">
        <f t="shared" si="0"/>
        <v>1.5002260000000001</v>
      </c>
      <c r="E16">
        <f t="shared" si="1"/>
        <v>0.37122205833749999</v>
      </c>
      <c r="F16">
        <f t="shared" si="2"/>
        <v>4.6239637743076507</v>
      </c>
    </row>
    <row r="17" spans="1:6" x14ac:dyDescent="0.3">
      <c r="A17">
        <v>1500226</v>
      </c>
      <c r="B17">
        <v>4.3633329999999999</v>
      </c>
      <c r="C17">
        <v>-3.661111</v>
      </c>
      <c r="D17">
        <f t="shared" si="0"/>
        <v>1.5002260000000001</v>
      </c>
      <c r="E17">
        <f t="shared" si="1"/>
        <v>0</v>
      </c>
      <c r="F17">
        <f t="shared" si="2"/>
        <v>4.6239637743076507</v>
      </c>
    </row>
    <row r="18" spans="1:6" x14ac:dyDescent="0.3">
      <c r="A18">
        <v>1700789</v>
      </c>
      <c r="B18">
        <v>5.0766669999999996</v>
      </c>
      <c r="C18">
        <v>-3.8044449999999999</v>
      </c>
      <c r="D18">
        <f t="shared" si="0"/>
        <v>1.7007890000000001</v>
      </c>
      <c r="E18">
        <f t="shared" si="1"/>
        <v>0.74865715401400013</v>
      </c>
      <c r="F18">
        <f t="shared" si="2"/>
        <v>5.3726209283216511</v>
      </c>
    </row>
    <row r="19" spans="1:6" x14ac:dyDescent="0.3">
      <c r="A19">
        <v>1800879</v>
      </c>
      <c r="B19">
        <v>5.4377779999999998</v>
      </c>
      <c r="C19">
        <v>-3.8411110000000002</v>
      </c>
      <c r="D19">
        <f t="shared" si="0"/>
        <v>1.8008789999999999</v>
      </c>
      <c r="E19">
        <f t="shared" si="1"/>
        <v>0.38262185001999921</v>
      </c>
      <c r="F19">
        <f t="shared" si="2"/>
        <v>5.7552427783416507</v>
      </c>
    </row>
    <row r="20" spans="1:6" x14ac:dyDescent="0.3">
      <c r="A20">
        <v>1900234</v>
      </c>
      <c r="B20">
        <v>5.7977780000000001</v>
      </c>
      <c r="C20">
        <v>-3.6688890000000001</v>
      </c>
      <c r="D20">
        <f t="shared" si="0"/>
        <v>1.900234</v>
      </c>
      <c r="E20">
        <f t="shared" si="1"/>
        <v>0.37307802500000031</v>
      </c>
      <c r="F20">
        <f t="shared" si="2"/>
        <v>6.1283208033416514</v>
      </c>
    </row>
    <row r="21" spans="1:6" x14ac:dyDescent="0.3">
      <c r="A21">
        <v>2000486</v>
      </c>
      <c r="B21">
        <v>6.14</v>
      </c>
      <c r="C21">
        <v>-3.52</v>
      </c>
      <c r="D21">
        <f t="shared" si="0"/>
        <v>2.000486</v>
      </c>
      <c r="E21">
        <f t="shared" si="1"/>
        <v>0.36035025001400001</v>
      </c>
      <c r="F21">
        <f t="shared" si="2"/>
        <v>0.2054857461760653</v>
      </c>
    </row>
    <row r="22" spans="1:6" x14ac:dyDescent="0.3">
      <c r="A22">
        <v>2100548</v>
      </c>
      <c r="B22">
        <v>0.24444440000000001</v>
      </c>
      <c r="C22">
        <v>-3.8144450000000001</v>
      </c>
      <c r="D22">
        <f t="shared" si="0"/>
        <v>2.1005479999999999</v>
      </c>
      <c r="E22">
        <f t="shared" si="1"/>
        <v>0.36694961779499957</v>
      </c>
      <c r="F22">
        <f t="shared" si="2"/>
        <v>0.57243536397106487</v>
      </c>
    </row>
    <row r="23" spans="1:6" x14ac:dyDescent="0.3">
      <c r="A23">
        <v>2100548</v>
      </c>
      <c r="B23">
        <v>0.24444440000000001</v>
      </c>
      <c r="C23">
        <v>-3.8144450000000001</v>
      </c>
      <c r="D23">
        <f t="shared" si="0"/>
        <v>2.1005479999999999</v>
      </c>
      <c r="E23">
        <f t="shared" si="1"/>
        <v>0</v>
      </c>
      <c r="F23">
        <f t="shared" si="2"/>
        <v>0.57243536397106487</v>
      </c>
    </row>
    <row r="24" spans="1:6" x14ac:dyDescent="0.3">
      <c r="A24">
        <v>2300694</v>
      </c>
      <c r="B24">
        <v>0.92222219999999999</v>
      </c>
      <c r="C24">
        <v>-3.62</v>
      </c>
      <c r="D24">
        <f t="shared" si="0"/>
        <v>2.300694</v>
      </c>
      <c r="E24">
        <f t="shared" si="1"/>
        <v>0.7439872144850006</v>
      </c>
      <c r="F24">
        <f t="shared" si="2"/>
        <v>1.3164225784560655</v>
      </c>
    </row>
    <row r="25" spans="1:6" x14ac:dyDescent="0.3">
      <c r="A25">
        <v>2400541</v>
      </c>
      <c r="B25">
        <v>1.263333</v>
      </c>
      <c r="C25">
        <v>-3.6344439999999998</v>
      </c>
      <c r="D25">
        <f t="shared" si="0"/>
        <v>2.400541</v>
      </c>
      <c r="E25">
        <f t="shared" si="1"/>
        <v>0.36216723503400006</v>
      </c>
      <c r="F25">
        <f t="shared" si="2"/>
        <v>1.6785898134900656</v>
      </c>
    </row>
    <row r="26" spans="1:6" x14ac:dyDescent="0.3">
      <c r="A26">
        <v>2500562</v>
      </c>
      <c r="B26">
        <v>1.611111</v>
      </c>
      <c r="C26">
        <v>-3.6311110000000002</v>
      </c>
      <c r="D26">
        <f t="shared" si="0"/>
        <v>2.500562</v>
      </c>
      <c r="E26">
        <f t="shared" si="1"/>
        <v>0.36335403832749968</v>
      </c>
      <c r="F26">
        <f t="shared" si="2"/>
        <v>2.0419438518175652</v>
      </c>
    </row>
    <row r="27" spans="1:6" x14ac:dyDescent="0.3">
      <c r="A27">
        <v>2600665</v>
      </c>
      <c r="B27">
        <v>1.947778</v>
      </c>
      <c r="C27">
        <v>-3.4466670000000001</v>
      </c>
      <c r="D27">
        <f t="shared" si="0"/>
        <v>2.6006649999999998</v>
      </c>
      <c r="E27">
        <f t="shared" si="1"/>
        <v>0.35425340556699941</v>
      </c>
      <c r="F27">
        <f t="shared" si="2"/>
        <v>2.3961972573845647</v>
      </c>
    </row>
    <row r="28" spans="1:6" x14ac:dyDescent="0.3">
      <c r="A28">
        <v>2700837</v>
      </c>
      <c r="B28">
        <v>2.2844440000000001</v>
      </c>
      <c r="C28">
        <v>-3.661111</v>
      </c>
      <c r="D28">
        <f t="shared" si="0"/>
        <v>2.7008369999999999</v>
      </c>
      <c r="E28">
        <f t="shared" si="1"/>
        <v>0.35600016890800051</v>
      </c>
      <c r="F28">
        <f t="shared" si="2"/>
        <v>2.752197426292565</v>
      </c>
    </row>
    <row r="29" spans="1:6" x14ac:dyDescent="0.3">
      <c r="A29">
        <v>2800410</v>
      </c>
      <c r="B29">
        <v>2.6433330000000002</v>
      </c>
      <c r="C29">
        <v>-3.851111</v>
      </c>
      <c r="D29">
        <f t="shared" si="0"/>
        <v>2.8004099999999998</v>
      </c>
      <c r="E29">
        <f t="shared" si="1"/>
        <v>0.37400724060299967</v>
      </c>
      <c r="F29">
        <f t="shared" si="2"/>
        <v>3.1262046668955645</v>
      </c>
    </row>
    <row r="30" spans="1:6" x14ac:dyDescent="0.3">
      <c r="A30">
        <v>2800410</v>
      </c>
      <c r="B30">
        <v>2.6433330000000002</v>
      </c>
      <c r="C30">
        <v>-3.851111</v>
      </c>
      <c r="D30">
        <f t="shared" si="0"/>
        <v>2.8004099999999998</v>
      </c>
      <c r="E30">
        <f t="shared" si="1"/>
        <v>0</v>
      </c>
      <c r="F30">
        <f t="shared" si="2"/>
        <v>3.1262046668955645</v>
      </c>
    </row>
    <row r="31" spans="1:6" x14ac:dyDescent="0.3">
      <c r="A31">
        <v>3000208</v>
      </c>
      <c r="B31">
        <v>3.342222</v>
      </c>
      <c r="C31">
        <v>-3.6044450000000001</v>
      </c>
      <c r="D31">
        <f t="shared" si="0"/>
        <v>3.0002080000000002</v>
      </c>
      <c r="E31">
        <f t="shared" si="1"/>
        <v>0.7448025888440013</v>
      </c>
      <c r="F31">
        <f t="shared" si="2"/>
        <v>3.8710072557395661</v>
      </c>
    </row>
    <row r="32" spans="1:6" x14ac:dyDescent="0.3">
      <c r="A32">
        <v>3000208</v>
      </c>
      <c r="B32">
        <v>3.342222</v>
      </c>
      <c r="C32">
        <v>-3.6044450000000001</v>
      </c>
      <c r="D32">
        <f t="shared" si="0"/>
        <v>3.0002080000000002</v>
      </c>
      <c r="E32">
        <f t="shared" si="1"/>
        <v>0</v>
      </c>
      <c r="F32">
        <f t="shared" si="2"/>
        <v>3.8710072557395661</v>
      </c>
    </row>
    <row r="33" spans="1:6" x14ac:dyDescent="0.3">
      <c r="A33">
        <v>3101803</v>
      </c>
      <c r="B33">
        <v>3.69</v>
      </c>
      <c r="C33">
        <v>-3.6755550000000001</v>
      </c>
      <c r="D33">
        <f t="shared" si="0"/>
        <v>3.1018029999999999</v>
      </c>
      <c r="E33">
        <f t="shared" si="1"/>
        <v>0.36980579999999874</v>
      </c>
      <c r="F33">
        <f t="shared" si="2"/>
        <v>4.2408130557395651</v>
      </c>
    </row>
    <row r="34" spans="1:6" x14ac:dyDescent="0.3">
      <c r="A34">
        <v>3311946</v>
      </c>
      <c r="B34">
        <v>4.4288889999999999</v>
      </c>
      <c r="C34">
        <v>-3.7588889999999999</v>
      </c>
      <c r="D34">
        <f t="shared" si="0"/>
        <v>3.3119459999999998</v>
      </c>
      <c r="E34">
        <f t="shared" si="1"/>
        <v>0.78114818274599984</v>
      </c>
      <c r="F34">
        <f t="shared" si="2"/>
        <v>5.0219612384855647</v>
      </c>
    </row>
    <row r="35" spans="1:6" x14ac:dyDescent="0.3">
      <c r="A35">
        <v>3400574</v>
      </c>
      <c r="B35">
        <v>4.7033329999999998</v>
      </c>
      <c r="C35">
        <v>-3.5344440000000001</v>
      </c>
      <c r="D35">
        <f t="shared" si="0"/>
        <v>3.4005740000000002</v>
      </c>
      <c r="E35">
        <f t="shared" si="1"/>
        <v>0.32319675856200136</v>
      </c>
      <c r="F35">
        <f t="shared" si="2"/>
        <v>5.3451579970475658</v>
      </c>
    </row>
    <row r="36" spans="1:6" x14ac:dyDescent="0.3">
      <c r="A36">
        <v>3500374</v>
      </c>
      <c r="B36">
        <v>5.0422219999999998</v>
      </c>
      <c r="C36">
        <v>-3.5755560000000002</v>
      </c>
      <c r="D36">
        <f t="shared" si="0"/>
        <v>3.5003739999999999</v>
      </c>
      <c r="E36">
        <f t="shared" si="1"/>
        <v>0.35478899999999886</v>
      </c>
      <c r="F36">
        <f t="shared" si="2"/>
        <v>5.6999469970475642</v>
      </c>
    </row>
    <row r="37" spans="1:6" x14ac:dyDescent="0.3">
      <c r="A37">
        <v>3600620</v>
      </c>
      <c r="B37">
        <v>5.39</v>
      </c>
      <c r="C37">
        <v>-3.8055560000000002</v>
      </c>
      <c r="D37">
        <f t="shared" si="0"/>
        <v>3.6006200000000002</v>
      </c>
      <c r="E37">
        <f t="shared" si="1"/>
        <v>0.369963476776001</v>
      </c>
      <c r="F37">
        <f t="shared" si="2"/>
        <v>6.0699104738235654</v>
      </c>
    </row>
    <row r="38" spans="1:6" x14ac:dyDescent="0.3">
      <c r="A38">
        <v>3700346</v>
      </c>
      <c r="B38">
        <v>5.7444439999999997</v>
      </c>
      <c r="C38">
        <v>-3.6666669999999999</v>
      </c>
      <c r="D38">
        <f t="shared" si="0"/>
        <v>3.7003460000000001</v>
      </c>
      <c r="E38">
        <f t="shared" si="1"/>
        <v>0.3725874554489999</v>
      </c>
      <c r="F38">
        <f t="shared" si="2"/>
        <v>0.15931262209297881</v>
      </c>
    </row>
    <row r="39" spans="1:6" x14ac:dyDescent="0.3">
      <c r="A39">
        <v>3800523</v>
      </c>
      <c r="B39">
        <v>6.0944440000000002</v>
      </c>
      <c r="C39">
        <v>-3.84</v>
      </c>
      <c r="D39">
        <f t="shared" si="0"/>
        <v>3.8005230000000001</v>
      </c>
      <c r="E39">
        <f t="shared" si="1"/>
        <v>0.37599769002949984</v>
      </c>
      <c r="F39">
        <f t="shared" si="2"/>
        <v>0.5353103121224787</v>
      </c>
    </row>
    <row r="40" spans="1:6" x14ac:dyDescent="0.3">
      <c r="A40">
        <v>3900758</v>
      </c>
      <c r="B40">
        <v>0.17222219999999999</v>
      </c>
      <c r="C40">
        <v>-3.6677780000000002</v>
      </c>
      <c r="D40">
        <f t="shared" si="0"/>
        <v>3.9007580000000002</v>
      </c>
      <c r="E40">
        <f t="shared" si="1"/>
        <v>0.37627106391500026</v>
      </c>
      <c r="F40">
        <f t="shared" si="2"/>
        <v>0.91158137603747891</v>
      </c>
    </row>
    <row r="41" spans="1:6" x14ac:dyDescent="0.3">
      <c r="A41">
        <v>4000778</v>
      </c>
      <c r="B41">
        <v>0.51444440000000002</v>
      </c>
      <c r="C41">
        <v>-3.51</v>
      </c>
      <c r="D41">
        <f t="shared" si="0"/>
        <v>4.0007780000000004</v>
      </c>
      <c r="E41">
        <f t="shared" si="1"/>
        <v>0.35896067778000079</v>
      </c>
      <c r="F41">
        <f t="shared" si="2"/>
        <v>1.2705420538174796</v>
      </c>
    </row>
    <row r="42" spans="1:6" x14ac:dyDescent="0.3">
      <c r="A42">
        <v>4000778</v>
      </c>
      <c r="B42">
        <v>0.51444440000000002</v>
      </c>
      <c r="C42">
        <v>-3.51</v>
      </c>
      <c r="D42">
        <f t="shared" si="0"/>
        <v>4.0007780000000004</v>
      </c>
      <c r="E42">
        <f t="shared" si="1"/>
        <v>0</v>
      </c>
      <c r="F42">
        <f t="shared" si="2"/>
        <v>1.2705420538174796</v>
      </c>
    </row>
    <row r="43" spans="1:6" x14ac:dyDescent="0.3">
      <c r="A43">
        <v>4200570</v>
      </c>
      <c r="B43">
        <v>1.2144440000000001</v>
      </c>
      <c r="C43">
        <v>-3.7422219999999999</v>
      </c>
      <c r="D43">
        <f t="shared" si="0"/>
        <v>4.2005699999999999</v>
      </c>
      <c r="E43">
        <f t="shared" si="1"/>
        <v>0.72446796891199827</v>
      </c>
      <c r="F43">
        <f t="shared" si="2"/>
        <v>1.995010022729478</v>
      </c>
    </row>
    <row r="44" spans="1:6" x14ac:dyDescent="0.3">
      <c r="A44">
        <v>4300807</v>
      </c>
      <c r="B44">
        <v>1.562222</v>
      </c>
      <c r="C44">
        <v>-3.523333</v>
      </c>
      <c r="D44">
        <f t="shared" si="0"/>
        <v>4.3008069999999998</v>
      </c>
      <c r="E44">
        <f t="shared" si="1"/>
        <v>0.36413871826749966</v>
      </c>
      <c r="F44">
        <f t="shared" si="2"/>
        <v>2.3591487409969778</v>
      </c>
    </row>
    <row r="45" spans="1:6" x14ac:dyDescent="0.3">
      <c r="A45">
        <v>4400390</v>
      </c>
      <c r="B45">
        <v>1.9044449999999999</v>
      </c>
      <c r="C45">
        <v>-3.6911109999999998</v>
      </c>
      <c r="D45">
        <f t="shared" si="0"/>
        <v>4.4003899999999998</v>
      </c>
      <c r="E45">
        <f t="shared" si="1"/>
        <v>0.35921798842599995</v>
      </c>
      <c r="F45">
        <f t="shared" si="2"/>
        <v>2.7183667294229776</v>
      </c>
    </row>
    <row r="46" spans="1:6" x14ac:dyDescent="0.3">
      <c r="A46">
        <v>4500552</v>
      </c>
      <c r="B46">
        <v>2.25</v>
      </c>
      <c r="C46">
        <v>-3.5344440000000001</v>
      </c>
      <c r="D46">
        <f t="shared" si="0"/>
        <v>4.5005519999999999</v>
      </c>
      <c r="E46">
        <f t="shared" si="1"/>
        <v>0.36186301995500031</v>
      </c>
      <c r="F46">
        <f t="shared" si="2"/>
        <v>3.080229749377978</v>
      </c>
    </row>
    <row r="47" spans="1:6" x14ac:dyDescent="0.3">
      <c r="A47">
        <v>4600392</v>
      </c>
      <c r="B47">
        <v>2.5911110000000002</v>
      </c>
      <c r="C47">
        <v>-3.664444</v>
      </c>
      <c r="D47">
        <f t="shared" si="0"/>
        <v>4.6003920000000003</v>
      </c>
      <c r="E47">
        <f t="shared" si="1"/>
        <v>0.35936848896000134</v>
      </c>
      <c r="F47">
        <f t="shared" si="2"/>
        <v>3.4395982383379793</v>
      </c>
    </row>
    <row r="48" spans="1:6" x14ac:dyDescent="0.3">
      <c r="A48">
        <v>4700672</v>
      </c>
      <c r="B48">
        <v>2.943333</v>
      </c>
      <c r="C48">
        <v>-3.6622219999999999</v>
      </c>
      <c r="D48">
        <f t="shared" si="0"/>
        <v>4.700672</v>
      </c>
      <c r="E48">
        <f t="shared" si="1"/>
        <v>0.36735903323999891</v>
      </c>
      <c r="F48">
        <f t="shared" si="2"/>
        <v>3.806957271577978</v>
      </c>
    </row>
    <row r="49" spans="1:6" x14ac:dyDescent="0.3">
      <c r="A49">
        <v>4800630</v>
      </c>
      <c r="B49">
        <v>3.3277779999999999</v>
      </c>
      <c r="C49">
        <v>-3.6911109999999998</v>
      </c>
      <c r="D49">
        <f t="shared" si="0"/>
        <v>4.80063</v>
      </c>
      <c r="E49">
        <f t="shared" si="1"/>
        <v>0.36751223000699995</v>
      </c>
      <c r="F49">
        <f t="shared" si="2"/>
        <v>4.1744695015849782</v>
      </c>
    </row>
    <row r="50" spans="1:6" x14ac:dyDescent="0.3">
      <c r="A50">
        <v>4900709</v>
      </c>
      <c r="B50">
        <v>3.641111</v>
      </c>
      <c r="C50">
        <v>-3.6466669999999999</v>
      </c>
      <c r="D50">
        <f t="shared" si="0"/>
        <v>4.900709</v>
      </c>
      <c r="E50">
        <f t="shared" si="1"/>
        <v>0.36717874223100011</v>
      </c>
      <c r="F50">
        <f t="shared" si="2"/>
        <v>4.5416482438159784</v>
      </c>
    </row>
    <row r="51" spans="1:6" x14ac:dyDescent="0.3">
      <c r="A51">
        <v>5000575</v>
      </c>
      <c r="B51">
        <v>3.99</v>
      </c>
      <c r="C51">
        <v>-3.7088890000000001</v>
      </c>
      <c r="D51">
        <f t="shared" si="0"/>
        <v>5.0005750000000004</v>
      </c>
      <c r="E51">
        <f t="shared" si="1"/>
        <v>0.36728497774800167</v>
      </c>
      <c r="F51">
        <f t="shared" si="2"/>
        <v>4.9089332215639798</v>
      </c>
    </row>
    <row r="52" spans="1:6" x14ac:dyDescent="0.3">
      <c r="A52">
        <v>5100567</v>
      </c>
      <c r="B52">
        <v>4.3355560000000004</v>
      </c>
      <c r="C52">
        <v>-3.5533329999999999</v>
      </c>
      <c r="D52">
        <f t="shared" si="0"/>
        <v>5.1005669999999999</v>
      </c>
      <c r="E52">
        <f t="shared" si="1"/>
        <v>0.36308205111199787</v>
      </c>
      <c r="F52">
        <f t="shared" si="2"/>
        <v>5.2720152726759775</v>
      </c>
    </row>
    <row r="53" spans="1:6" x14ac:dyDescent="0.3">
      <c r="A53">
        <v>5200616</v>
      </c>
      <c r="B53">
        <v>4.6722219999999997</v>
      </c>
      <c r="C53">
        <v>-3.6355559999999998</v>
      </c>
      <c r="D53">
        <f t="shared" si="0"/>
        <v>5.2006160000000001</v>
      </c>
      <c r="E53">
        <f t="shared" si="1"/>
        <v>0.35962057778050099</v>
      </c>
      <c r="F53">
        <f t="shared" si="2"/>
        <v>5.6316358504564787</v>
      </c>
    </row>
    <row r="54" spans="1:6" x14ac:dyDescent="0.3">
      <c r="A54">
        <v>5300739</v>
      </c>
      <c r="B54">
        <v>5.0244450000000001</v>
      </c>
      <c r="C54">
        <v>-3.77</v>
      </c>
      <c r="D54">
        <f t="shared" si="0"/>
        <v>5.3007390000000001</v>
      </c>
      <c r="E54">
        <f t="shared" si="1"/>
        <v>0.37073324169399985</v>
      </c>
      <c r="F54">
        <f t="shared" si="2"/>
        <v>6.0023690921504782</v>
      </c>
    </row>
    <row r="55" spans="1:6" x14ac:dyDescent="0.3">
      <c r="E55">
        <f t="shared" si="1"/>
        <v>-9.9918930150000005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IMU verifier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Katherine Meezan</cp:lastModifiedBy>
  <dcterms:created xsi:type="dcterms:W3CDTF">2025-11-20T16:10:33Z</dcterms:created>
  <dcterms:modified xsi:type="dcterms:W3CDTF">2025-11-20T17:50:38Z</dcterms:modified>
</cp:coreProperties>
</file>